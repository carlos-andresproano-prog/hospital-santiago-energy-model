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Cálculos para Energía " sheetId="1" r:id="rId5"/>
  </sheets>
  <definedNames/>
  <calcPr/>
</workbook>
</file>

<file path=xl/sharedStrings.xml><?xml version="1.0" encoding="utf-8"?>
<sst xmlns="http://schemas.openxmlformats.org/spreadsheetml/2006/main" count="156" uniqueCount="107">
  <si>
    <t>ZONAS HOSPITALARIAS</t>
  </si>
  <si>
    <t>ENERGÍA TÉRMICA</t>
  </si>
  <si>
    <t>Área/Descripción</t>
  </si>
  <si>
    <t>Criticidad</t>
  </si>
  <si>
    <t>Área (m²)</t>
  </si>
  <si>
    <t>Potencia de diseño (BTU/h)</t>
  </si>
  <si>
    <t xml:space="preserve">Potencia de diseño (TR) </t>
  </si>
  <si>
    <t>Simultaneidad</t>
  </si>
  <si>
    <t xml:space="preserve">Potencia Efectiva (TR) </t>
  </si>
  <si>
    <t>Categoría/Zona Hospitalaria</t>
  </si>
  <si>
    <t>EFLH (h/año)</t>
  </si>
  <si>
    <t>Demanda Anual (TR-h)</t>
  </si>
  <si>
    <t>MW-h</t>
  </si>
  <si>
    <t>Mes</t>
  </si>
  <si>
    <t>CDD 18 (°C-días)</t>
  </si>
  <si>
    <t>Fracción</t>
  </si>
  <si>
    <t>Energía Térmica HVAC/CaaS (MWh)</t>
  </si>
  <si>
    <t>COP</t>
  </si>
  <si>
    <t>Energía Eléctrica HVAC/CaaS (MWh)</t>
  </si>
  <si>
    <t>Consumo Bombas Primarias + Secundarias (GWh)</t>
  </si>
  <si>
    <t>Subtotal PAH</t>
  </si>
  <si>
    <t>Consumo Motores UTAs/AHUs (GWh)</t>
  </si>
  <si>
    <t>Resto Cargas (MWh)</t>
  </si>
  <si>
    <t>Subtotal No Hvac</t>
  </si>
  <si>
    <t>Total Eléctrico (MWh)</t>
  </si>
  <si>
    <t>Porcentaje Energía No HVAC / Energía HVAC</t>
  </si>
  <si>
    <t>Porcentaje Energía HVAC / Energía Total</t>
  </si>
  <si>
    <t>Superficie (m2)</t>
  </si>
  <si>
    <t>Carga Térmica de Diseño</t>
  </si>
  <si>
    <t>EFLH Calculado (h/año)</t>
  </si>
  <si>
    <t>EFLH Ponderado (h/año)</t>
  </si>
  <si>
    <t>Justificación (basado en ASHRAE 170 y operación)</t>
  </si>
  <si>
    <t>Hospitalización Norte P1</t>
  </si>
  <si>
    <t>Hospitalización</t>
  </si>
  <si>
    <t>Ene</t>
  </si>
  <si>
    <t>Operación media (14-16 h/día efectivo, de ASHRAE Handbook Ch.9 para wards con setback nocturno), ACH 4-6, confort general (22°C, 50% RH). PLF 0.98 por cargas internas constantes en tropical (Wan et al., 2017).</t>
  </si>
  <si>
    <t>Hospitalización Norte P2</t>
  </si>
  <si>
    <t>Feb</t>
  </si>
  <si>
    <t>Emergencia/Recuperación</t>
  </si>
  <si>
    <t>24/7 (ASHRAE Handbook Ch.9 implica operación continua), presión variable, ACH 12+. PLF 1.0 por demanda constante en áreas críticas.</t>
  </si>
  <si>
    <t>Hospitalización Sur P1</t>
  </si>
  <si>
    <t>Mar</t>
  </si>
  <si>
    <t>Quirófanos/Procedimientos</t>
  </si>
  <si>
    <t>HEPA, ACH 20-25, esterilidad constante (ASHRAE Handbook Ch.9: uso 8-12 h/día típico, ajustado a 16 h efectivo con setback). PLF 1.0 por ventilación mínima continua.</t>
  </si>
  <si>
    <t>Hospitalización Sur P2</t>
  </si>
  <si>
    <t>Abr</t>
  </si>
  <si>
    <t>Labs/Esterilización</t>
  </si>
  <si>
    <t>ACH 10, presión negativa, filtración MERV 16 (ASHRAE Handbook Ch.9: operación extendida para control de contaminantes). PLF 0.99 por cargas internas altas en tropical.</t>
  </si>
  <si>
    <t>Emergencia</t>
  </si>
  <si>
    <t>May</t>
  </si>
  <si>
    <t>Cafetería/Hall</t>
  </si>
  <si>
    <t>Intermitente (ASHRAE Handbook Ch.9: alineado con horarios de comida, ~10-12 h/día), ventilación básica (MERV 8+14). PLF 0.99 por operación diurna en tropical.</t>
  </si>
  <si>
    <t>Cafetería</t>
  </si>
  <si>
    <t>Jun</t>
  </si>
  <si>
    <t>Mantenimiento/Servicios</t>
  </si>
  <si>
    <t>Ajustado por clima tropical y ASHRAE 170. Coherente: Alto pero realista para Guayas (clima constante + ventilación alta). ASHRAE Handbook Ch.18 (tropical): 4,800-5,800 h promedio hospitales con alta latente.</t>
  </si>
  <si>
    <t>Imagenología</t>
  </si>
  <si>
    <t>Jul</t>
  </si>
  <si>
    <t>Total</t>
  </si>
  <si>
    <t>Mantenimiento/Morgue</t>
  </si>
  <si>
    <t>Ago</t>
  </si>
  <si>
    <t>Servicios</t>
  </si>
  <si>
    <t>Sep</t>
  </si>
  <si>
    <t>Hall Principal</t>
  </si>
  <si>
    <t>Oct</t>
  </si>
  <si>
    <t>Comedor</t>
  </si>
  <si>
    <t>Nov</t>
  </si>
  <si>
    <t>Zona Hospitalaria</t>
  </si>
  <si>
    <t>Superficie (m²)</t>
  </si>
  <si>
    <t>Carga Térmica de Diseño Nominal (TR)</t>
  </si>
  <si>
    <t>Farmacia</t>
  </si>
  <si>
    <t>Dic</t>
  </si>
  <si>
    <t>Esterilización</t>
  </si>
  <si>
    <t>Procedimientos</t>
  </si>
  <si>
    <t>Notas</t>
  </si>
  <si>
    <t>Benchmark JBGHY ratio</t>
  </si>
  <si>
    <t>Recuperación</t>
  </si>
  <si>
    <t>Superficie cuarto de máquinas</t>
  </si>
  <si>
    <t>Corredor Sucio</t>
  </si>
  <si>
    <t>Laboratorio</t>
  </si>
  <si>
    <t>Curettage</t>
  </si>
  <si>
    <t>Enero</t>
  </si>
  <si>
    <t>Imagenología/Farmacia</t>
  </si>
  <si>
    <t>General OR</t>
  </si>
  <si>
    <t>Febrero</t>
  </si>
  <si>
    <t>Large OR</t>
  </si>
  <si>
    <t>Marzo</t>
  </si>
  <si>
    <t>Demanda Térmica (GWh)</t>
  </si>
  <si>
    <t>Consumo Chillers (GWh)</t>
  </si>
  <si>
    <t>Consumo Resto no-HVAC (GWh)</t>
  </si>
  <si>
    <t>Total Consumo Planta (GWh)</t>
  </si>
  <si>
    <t>Clean Procedures</t>
  </si>
  <si>
    <t>Abril</t>
  </si>
  <si>
    <t>Dirty Procedures</t>
  </si>
  <si>
    <t>Mayo</t>
  </si>
  <si>
    <t>Zona Estéril</t>
  </si>
  <si>
    <t>Junio</t>
  </si>
  <si>
    <t>Terraza-FC</t>
  </si>
  <si>
    <t>Julio</t>
  </si>
  <si>
    <t>Agosto</t>
  </si>
  <si>
    <t>Septiembre</t>
  </si>
  <si>
    <t>Octubre</t>
  </si>
  <si>
    <t>Noviembre</t>
  </si>
  <si>
    <t>Diciembre</t>
  </si>
  <si>
    <t>Hora</t>
  </si>
  <si>
    <t>Carga Térmica Operacional (TR)</t>
  </si>
  <si>
    <t>Total 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</si>
</sst>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hh:mm"/>
    <numFmt numFmtId="166" formatCode="[hh]:mm:ss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i/>
      <sz val="12.0"/>
      <color theme="1"/>
      <name val="Arial"/>
      <scheme val="minor"/>
    </font>
    <font>
      <b/>
      <i/>
      <color theme="1"/>
      <name val="Arial"/>
      <scheme val="minor"/>
    </font>
    <font>
      <b/>
      <sz val="14.0"/>
      <color theme="1"/>
      <name val="Arial"/>
      <scheme val="minor"/>
    </font>
    <font>
      <sz val="11.0"/>
      <color rgb="FF1F1F1F"/>
      <name val="Monospace"/>
    </font>
    <font>
      <sz val="11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00FF00"/>
        <bgColor rgb="FF00FF00"/>
      </patternFill>
    </fill>
  </fills>
  <borders count="6">
    <border/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Border="1" applyFill="1" applyFont="1"/>
    <xf borderId="3" fillId="3" fontId="2" numFmtId="0" xfId="0" applyBorder="1" applyFont="1"/>
    <xf borderId="0" fillId="3" fontId="1" numFmtId="0" xfId="0" applyAlignment="1" applyFont="1">
      <alignment horizontal="center" readingOrder="0"/>
    </xf>
    <xf borderId="4" fillId="4" fontId="1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5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4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4" fillId="5" fontId="3" numFmtId="0" xfId="0" applyAlignment="1" applyBorder="1" applyFill="1" applyFont="1">
      <alignment readingOrder="0"/>
    </xf>
    <xf borderId="4" fillId="5" fontId="4" numFmtId="0" xfId="0" applyAlignment="1" applyBorder="1" applyFont="1">
      <alignment readingOrder="0"/>
    </xf>
    <xf borderId="4" fillId="5" fontId="4" numFmtId="3" xfId="0" applyAlignment="1" applyBorder="1" applyFont="1" applyNumberFormat="1">
      <alignment readingOrder="0"/>
    </xf>
    <xf borderId="4" fillId="5" fontId="4" numFmtId="2" xfId="0" applyAlignment="1" applyBorder="1" applyFont="1" applyNumberFormat="1">
      <alignment readingOrder="0"/>
    </xf>
    <xf borderId="4" fillId="5" fontId="4" numFmtId="164" xfId="0" applyBorder="1" applyFont="1" applyNumberFormat="1"/>
    <xf borderId="1" fillId="5" fontId="4" numFmtId="0" xfId="0" applyBorder="1" applyFont="1"/>
    <xf borderId="5" fillId="0" fontId="3" numFmtId="0" xfId="0" applyAlignment="1" applyBorder="1" applyFont="1">
      <alignment vertical="center"/>
    </xf>
    <xf borderId="5" fillId="0" fontId="4" numFmtId="4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horizontal="center" vertical="center"/>
    </xf>
    <xf borderId="5" fillId="0" fontId="4" numFmtId="4" xfId="0" applyAlignment="1" applyBorder="1" applyFont="1" applyNumberFormat="1">
      <alignment horizontal="right" vertical="center"/>
    </xf>
    <xf borderId="5" fillId="0" fontId="4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4" numFmtId="10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readingOrder="0"/>
    </xf>
    <xf borderId="4" fillId="0" fontId="3" numFmtId="3" xfId="0" applyAlignment="1" applyBorder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4" fillId="4" fontId="3" numFmtId="0" xfId="0" applyAlignment="1" applyBorder="1" applyFont="1">
      <alignment readingOrder="0"/>
    </xf>
    <xf borderId="4" fillId="4" fontId="4" numFmtId="3" xfId="0" applyAlignment="1" applyBorder="1" applyFont="1" applyNumberFormat="1">
      <alignment readingOrder="0"/>
    </xf>
    <xf borderId="4" fillId="4" fontId="4" numFmtId="2" xfId="0" applyAlignment="1" applyBorder="1" applyFont="1" applyNumberFormat="1">
      <alignment readingOrder="0"/>
    </xf>
    <xf borderId="4" fillId="4" fontId="4" numFmtId="0" xfId="0" applyAlignment="1" applyBorder="1" applyFont="1">
      <alignment readingOrder="0"/>
    </xf>
    <xf borderId="4" fillId="4" fontId="4" numFmtId="164" xfId="0" applyBorder="1" applyFont="1" applyNumberFormat="1"/>
    <xf borderId="1" fillId="4" fontId="4" numFmtId="0" xfId="0" applyBorder="1" applyFont="1"/>
    <xf borderId="5" fillId="0" fontId="5" numFmtId="4" xfId="0" applyAlignment="1" applyBorder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4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1" numFmtId="3" xfId="0" applyAlignment="1" applyFont="1" applyNumberFormat="1">
      <alignment horizontal="center" readingOrder="0"/>
    </xf>
    <xf borderId="5" fillId="0" fontId="6" numFmtId="164" xfId="0" applyAlignment="1" applyBorder="1" applyFont="1" applyNumberFormat="1">
      <alignment horizontal="right" vertical="center"/>
    </xf>
    <xf borderId="5" fillId="0" fontId="6" numFmtId="3" xfId="0" applyAlignment="1" applyBorder="1" applyFont="1" applyNumberFormat="1">
      <alignment horizontal="center" vertical="center"/>
    </xf>
    <xf borderId="5" fillId="0" fontId="6" numFmtId="2" xfId="0" applyAlignment="1" applyBorder="1" applyFont="1" applyNumberFormat="1">
      <alignment horizontal="center" vertical="center"/>
    </xf>
    <xf borderId="5" fillId="0" fontId="6" numFmtId="4" xfId="0" applyAlignment="1" applyBorder="1" applyFont="1" applyNumberFormat="1">
      <alignment horizontal="right" vertical="center"/>
    </xf>
    <xf borderId="5" fillId="0" fontId="7" numFmtId="0" xfId="0" applyAlignment="1" applyBorder="1" applyFont="1">
      <alignment horizontal="center" vertical="center"/>
    </xf>
    <xf borderId="5" fillId="0" fontId="6" numFmtId="164" xfId="0" applyAlignment="1" applyBorder="1" applyFont="1" applyNumberFormat="1">
      <alignment horizontal="center" vertical="center"/>
    </xf>
    <xf borderId="5" fillId="0" fontId="6" numFmtId="164" xfId="0" applyAlignment="1" applyBorder="1" applyFont="1" applyNumberFormat="1">
      <alignment horizontal="center" readingOrder="0" vertical="center"/>
    </xf>
    <xf borderId="5" fillId="0" fontId="8" numFmtId="164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0" fillId="0" fontId="3" numFmtId="0" xfId="0" applyFont="1"/>
    <xf borderId="4" fillId="4" fontId="4" numFmtId="0" xfId="0" applyBorder="1" applyFont="1"/>
    <xf borderId="0" fillId="4" fontId="4" numFmtId="0" xfId="0" applyFont="1"/>
    <xf borderId="0" fillId="0" fontId="3" numFmtId="0" xfId="0" applyFont="1"/>
    <xf borderId="0" fillId="0" fontId="6" numFmtId="10" xfId="0" applyFont="1" applyNumberFormat="1"/>
    <xf borderId="0" fillId="0" fontId="6" numFmtId="0" xfId="0" applyAlignment="1" applyFont="1">
      <alignment readingOrder="0"/>
    </xf>
    <xf borderId="0" fillId="5" fontId="4" numFmtId="0" xfId="0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4" fillId="5" fontId="1" numFmtId="0" xfId="0" applyAlignment="1" applyBorder="1" applyFont="1">
      <alignment readingOrder="0"/>
    </xf>
    <xf borderId="4" fillId="5" fontId="1" numFmtId="3" xfId="0" applyAlignment="1" applyBorder="1" applyFont="1" applyNumberFormat="1">
      <alignment readingOrder="0"/>
    </xf>
    <xf borderId="4" fillId="5" fontId="1" numFmtId="2" xfId="0" applyAlignment="1" applyBorder="1" applyFont="1" applyNumberFormat="1">
      <alignment readingOrder="0"/>
    </xf>
    <xf borderId="4" fillId="5" fontId="9" numFmtId="2" xfId="0" applyAlignment="1" applyBorder="1" applyFont="1" applyNumberFormat="1">
      <alignment readingOrder="0"/>
    </xf>
    <xf borderId="4" fillId="5" fontId="3" numFmtId="3" xfId="0" applyAlignment="1" applyBorder="1" applyFont="1" applyNumberFormat="1">
      <alignment readingOrder="0"/>
    </xf>
    <xf borderId="4" fillId="6" fontId="10" numFmtId="164" xfId="0" applyBorder="1" applyFill="1" applyFont="1" applyNumberFormat="1"/>
    <xf borderId="0" fillId="5" fontId="10" numFmtId="0" xfId="0" applyFont="1"/>
    <xf borderId="0" fillId="4" fontId="3" numFmtId="0" xfId="0" applyAlignment="1" applyFont="1">
      <alignment readingOrder="0"/>
    </xf>
    <xf borderId="0" fillId="4" fontId="3" numFmtId="3" xfId="0" applyAlignment="1" applyFont="1" applyNumberFormat="1">
      <alignment readingOrder="0"/>
    </xf>
    <xf borderId="4" fillId="4" fontId="3" numFmtId="3" xfId="0" applyAlignment="1" applyBorder="1" applyFont="1" applyNumberFormat="1">
      <alignment readingOrder="0"/>
    </xf>
    <xf borderId="0" fillId="4" fontId="10" numFmtId="0" xfId="0" applyFont="1"/>
    <xf borderId="0" fillId="5" fontId="3" numFmtId="0" xfId="0" applyAlignment="1" applyFont="1">
      <alignment readingOrder="0"/>
    </xf>
    <xf borderId="0" fillId="4" fontId="11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4" fontId="12" numFmtId="0" xfId="0" applyAlignment="1" applyFont="1">
      <alignment readingOrder="0"/>
    </xf>
    <xf borderId="0" fillId="0" fontId="5" numFmtId="166" xfId="0" applyAlignment="1" applyFont="1" applyNumberFormat="1">
      <alignment horizontal="right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Tabla de Cálculos para Energía -style">
      <tableStyleElement dxfId="1" type="headerRow"/>
      <tableStyleElement dxfId="2" type="firstRowStripe"/>
      <tableStyleElement dxfId="3" type="secondRowStripe"/>
    </tableStyle>
    <tableStyle count="3" pivot="0" name="Tabla de Cálculos para Energía -style 2">
      <tableStyleElement dxfId="4" type="headerRow"/>
      <tableStyleElement dxfId="2" type="firstRowStripe"/>
      <tableStyleElement dxfId="3" type="secondRowStripe"/>
    </tableStyle>
    <tableStyle count="3" pivot="0" name="Tabla de Cálculos para Energía -style 3">
      <tableStyleElement dxfId="5" type="headerRow"/>
      <tableStyleElement dxfId="3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Carga Térmica Operacional (TR) vs Hora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'Tabla de Cálculos para Energía '!$B$35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'Tabla de Cálculos para Energía '!$A$36:$A$48</c:f>
            </c:strRef>
          </c:cat>
          <c:val>
            <c:numRef>
              <c:f>'Tabla de Cálculos para Energía '!$B$36:$B$48</c:f>
              <c:numCache/>
            </c:numRef>
          </c:val>
          <c:smooth val="0"/>
        </c:ser>
        <c:axId val="216482392"/>
        <c:axId val="845410645"/>
      </c:lineChart>
      <c:catAx>
        <c:axId val="216482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410645"/>
      </c:catAx>
      <c:valAx>
        <c:axId val="845410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Carga Térmica Operacional (TR)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482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Carga Térmica de Diseño por categoría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'Tabla de Cálculos para Energía '!$AE$2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'Tabla de Cálculos para Energía '!$AC$3:$AC$8</c:f>
            </c:strRef>
          </c:cat>
          <c:val>
            <c:numRef>
              <c:f>'Tabla de Cálculos para Energía '!$AE$3:$AE$8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Potencia(TR)  vs Área/Descripción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'Tabla de Cálculos para Energía '!$E$1:$E$2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'Tabla de Cálculos para Energía '!$A$3:$A$26</c:f>
            </c:strRef>
          </c:cat>
          <c:val>
            <c:numRef>
              <c:f>'Tabla de Cálculos para Energía '!$E$3:$E$26</c:f>
              <c:numCache/>
            </c:numRef>
          </c:val>
        </c:ser>
        <c:axId val="1711734681"/>
        <c:axId val="893613721"/>
      </c:barChart>
      <c:catAx>
        <c:axId val="1711734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Área/Descripción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613721"/>
      </c:catAx>
      <c:valAx>
        <c:axId val="893613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Potencia(TR)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734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647700</xdr:colOff>
      <xdr:row>31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32</xdr:col>
      <xdr:colOff>1600200</xdr:colOff>
      <xdr:row>8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1209675</xdr:colOff>
      <xdr:row>49</xdr:row>
      <xdr:rowOff>95250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1495425</xdr:colOff>
      <xdr:row>46</xdr:row>
      <xdr:rowOff>28575</xdr:rowOff>
    </xdr:from>
    <xdr:ext cx="7629525" cy="46482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N2:AA17" displayName="Table_1" name="Table_1" id="1">
  <tableColumns count="14">
    <tableColumn name="Mes" id="1"/>
    <tableColumn name="CDD 18 (°C-días)" id="2"/>
    <tableColumn name="Fracción" id="3"/>
    <tableColumn name="Energía Térmica HVAC/CaaS (MWh)" id="4"/>
    <tableColumn name="COP" id="5"/>
    <tableColumn name="Energía Eléctrica HVAC/CaaS (MWh)" id="6"/>
    <tableColumn name="Consumo Bombas Primarias + Secundarias (GWh)" id="7"/>
    <tableColumn name="Subtotal PAH" id="8"/>
    <tableColumn name="Consumo Motores UTAs/AHUs (GWh)" id="9"/>
    <tableColumn name="Resto Cargas (MWh)" id="10"/>
    <tableColumn name="Subtotal No Hvac" id="11"/>
    <tableColumn name="Total Eléctrico (MWh)" id="12"/>
    <tableColumn name="Porcentaje Energía No HVAC / Energía HVAC" id="13"/>
    <tableColumn name="Porcentaje Energía HVAC / Energía Total" id="14"/>
  </tableColumns>
  <tableStyleInfo name="Tabla de Cálculos para Energía -style" showColumnStripes="0" showFirstColumn="1" showLastColumn="1" showRowStripes="1"/>
</table>
</file>

<file path=xl/tables/table2.xml><?xml version="1.0" encoding="utf-8"?>
<table xmlns="http://schemas.openxmlformats.org/spreadsheetml/2006/main" ref="AC2:AH9" displayName="Table_2" name="Table_2" id="2">
  <tableColumns count="6">
    <tableColumn name="Categoría/Zona Hospitalaria" id="1"/>
    <tableColumn name="Superficie (m2)" id="2"/>
    <tableColumn name="Carga Térmica de Diseño" id="3"/>
    <tableColumn name="EFLH Calculado (h/año)" id="4"/>
    <tableColumn name="EFLH Ponderado (h/año)" id="5"/>
    <tableColumn name="Justificación (basado en ASHRAE 170 y operación)" id="6"/>
  </tableColumns>
  <tableStyleInfo name="Tabla de Cálculos para Energía -style 2" showColumnStripes="0" showFirstColumn="1" showLastColumn="1" showRowStripes="1"/>
</table>
</file>

<file path=xl/tables/table3.xml><?xml version="1.0" encoding="utf-8"?>
<table xmlns="http://schemas.openxmlformats.org/spreadsheetml/2006/main" ref="A35:B48" displayName="Table_3" name="Table_3" id="3">
  <tableColumns count="2">
    <tableColumn name="Hora" id="1"/>
    <tableColumn name="Carga Térmica Operacional (TR)" id="2"/>
  </tableColumns>
  <tableStyleInfo name="Tabla de Cálculos para Energía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9.38"/>
    <col customWidth="1" min="3" max="3" width="25.25"/>
    <col customWidth="1" min="4" max="4" width="16.75"/>
    <col customWidth="1" min="5" max="5" width="19.0"/>
    <col customWidth="1" min="6" max="6" width="12.5"/>
    <col customWidth="1" min="7" max="7" width="19.13"/>
    <col customWidth="1" min="8" max="8" width="23.25"/>
    <col customWidth="1" min="9" max="11" width="18.88"/>
    <col customWidth="1" min="12" max="12" width="14.75"/>
    <col customWidth="1" min="13" max="13" width="14.63"/>
    <col customWidth="1" min="14" max="14" width="6.13"/>
    <col customWidth="1" min="15" max="15" width="9.75"/>
    <col customWidth="1" min="16" max="16" width="9.38"/>
    <col customWidth="1" min="17" max="17" width="15.63"/>
    <col customWidth="1" min="18" max="18" width="5.5"/>
    <col customWidth="1" min="19" max="19" width="20.75"/>
    <col customWidth="1" min="20" max="20" width="24.0"/>
    <col customWidth="1" min="21" max="21" width="14.25"/>
    <col customWidth="1" min="22" max="22" width="16.5"/>
    <col customWidth="1" min="23" max="24" width="14.5"/>
    <col customWidth="1" min="25" max="25" width="13.38"/>
    <col customWidth="1" min="26" max="26" width="20.38"/>
    <col customWidth="1" min="27" max="27" width="18.5"/>
    <col customWidth="1" min="29" max="29" width="23.25"/>
    <col customWidth="1" min="30" max="30" width="21.25"/>
    <col customWidth="1" min="31" max="31" width="21.13"/>
    <col customWidth="1" min="32" max="32" width="31.63"/>
    <col customWidth="1" min="33" max="33" width="21.13"/>
    <col customWidth="1" min="34" max="34" width="72.63"/>
    <col customWidth="1" min="35" max="35" width="89.75"/>
    <col customWidth="1" min="36" max="36" width="161.75"/>
  </cols>
  <sheetData>
    <row r="1">
      <c r="A1" s="1" t="s">
        <v>0</v>
      </c>
      <c r="B1" s="2"/>
      <c r="C1" s="3"/>
      <c r="D1" s="1" t="s">
        <v>1</v>
      </c>
      <c r="E1" s="2"/>
      <c r="F1" s="2"/>
      <c r="G1" s="2"/>
      <c r="H1" s="2"/>
      <c r="I1" s="2"/>
      <c r="J1" s="2"/>
      <c r="K1" s="2"/>
      <c r="L1" s="3"/>
      <c r="M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/>
      <c r="K2" s="5" t="s">
        <v>11</v>
      </c>
      <c r="L2" s="5" t="s">
        <v>12</v>
      </c>
      <c r="M2" s="6"/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8"/>
      <c r="AC2" s="9" t="s">
        <v>9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31</v>
      </c>
      <c r="AI2" s="8"/>
      <c r="AJ2" s="8"/>
      <c r="AK2" s="8"/>
      <c r="AL2" s="10"/>
      <c r="AM2" s="10"/>
      <c r="AN2" s="10"/>
      <c r="AO2" s="10"/>
      <c r="AP2" s="10"/>
      <c r="AQ2" s="10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ht="18.75" customHeight="1">
      <c r="A3" s="11" t="s">
        <v>32</v>
      </c>
      <c r="B3" s="11" t="str">
        <f t="shared" ref="B3:B26" si="1">IF(F3=0.9,"Crítica",IF(F3=0.8,"Semicrítica","General"))</f>
        <v>Crítica</v>
      </c>
      <c r="C3" s="12">
        <v>958.0</v>
      </c>
      <c r="D3" s="13">
        <v>934000.0</v>
      </c>
      <c r="E3" s="14">
        <f t="shared" ref="E3:E26" si="2">D3/12000</f>
        <v>77.83333333</v>
      </c>
      <c r="F3" s="12">
        <v>0.9</v>
      </c>
      <c r="G3" s="14">
        <f t="shared" ref="G3:G27" si="3">E3*F3</f>
        <v>70.05</v>
      </c>
      <c r="H3" s="12" t="s">
        <v>33</v>
      </c>
      <c r="I3" s="12">
        <v>5000.0</v>
      </c>
      <c r="J3" s="12"/>
      <c r="K3" s="13">
        <f t="shared" ref="K3:K26" si="4">E3*F3*I3</f>
        <v>350250</v>
      </c>
      <c r="L3" s="15">
        <f t="shared" ref="L3:L26" si="5">K3*3.517/1000</f>
        <v>1231.82925</v>
      </c>
      <c r="M3" s="16"/>
      <c r="N3" s="17" t="s">
        <v>34</v>
      </c>
      <c r="O3" s="18">
        <v>275.54999999999995</v>
      </c>
      <c r="P3" s="19">
        <f t="shared" ref="P3:P14" si="6">O3/$O$15</f>
        <v>0.0907907743</v>
      </c>
      <c r="Q3" s="20">
        <f t="shared" ref="Q3:Q14" si="7">P3*$L$27</f>
        <v>1104.370619</v>
      </c>
      <c r="R3" s="21">
        <v>3.0</v>
      </c>
      <c r="S3" s="19">
        <f t="shared" ref="S3:S14" si="8">Q3/R3/1000</f>
        <v>0.3681235396</v>
      </c>
      <c r="T3" s="22">
        <v>0.035</v>
      </c>
      <c r="U3" s="23">
        <f t="shared" ref="U3:U15" si="9">S3+T3</f>
        <v>0.4031235396</v>
      </c>
      <c r="V3" s="24">
        <v>0.146</v>
      </c>
      <c r="W3" s="25" t="str">
        <f t="shared" ref="W3:W14" si="10">'Cálculo Energético Resto no HVAC'!$C$17/1000</f>
        <v>#REF!</v>
      </c>
      <c r="X3" s="25" t="str">
        <f t="shared" ref="X3:X15" si="11">V3+W3</f>
        <v>#REF!</v>
      </c>
      <c r="Y3" s="26" t="str">
        <f t="shared" ref="Y3:Y14" si="12">S3+W3</f>
        <v>#REF!</v>
      </c>
      <c r="Z3" s="27" t="str">
        <f t="shared" ref="Z3:Z14" si="13">W3/S3</f>
        <v>#REF!</v>
      </c>
      <c r="AA3" s="27" t="str">
        <f t="shared" ref="AA3:AA14" si="14">S3/Y3</f>
        <v>#REF!</v>
      </c>
      <c r="AC3" s="28" t="s">
        <v>33</v>
      </c>
      <c r="AD3" s="28">
        <v>3885.0</v>
      </c>
      <c r="AE3" s="28">
        <v>263.58</v>
      </c>
      <c r="AF3" s="29">
        <f>365*14*0.981</f>
        <v>5012.91</v>
      </c>
      <c r="AG3" s="30">
        <v>5000.0</v>
      </c>
      <c r="AH3" s="31" t="s">
        <v>35</v>
      </c>
    </row>
    <row r="4" ht="15.75" customHeight="1">
      <c r="A4" s="32" t="s">
        <v>36</v>
      </c>
      <c r="B4" s="32" t="str">
        <f t="shared" si="1"/>
        <v>Crítica</v>
      </c>
      <c r="C4" s="33">
        <v>1128.0</v>
      </c>
      <c r="D4" s="33">
        <v>924000.0</v>
      </c>
      <c r="E4" s="34">
        <f t="shared" si="2"/>
        <v>77</v>
      </c>
      <c r="F4" s="35">
        <v>0.9</v>
      </c>
      <c r="G4" s="34">
        <f t="shared" si="3"/>
        <v>69.3</v>
      </c>
      <c r="H4" s="35" t="s">
        <v>33</v>
      </c>
      <c r="I4" s="35">
        <v>5000.0</v>
      </c>
      <c r="J4" s="35"/>
      <c r="K4" s="33">
        <f t="shared" si="4"/>
        <v>346500</v>
      </c>
      <c r="L4" s="36">
        <f t="shared" si="5"/>
        <v>1218.6405</v>
      </c>
      <c r="M4" s="37"/>
      <c r="N4" s="17" t="s">
        <v>37</v>
      </c>
      <c r="O4" s="18">
        <v>270.95</v>
      </c>
      <c r="P4" s="19">
        <f t="shared" si="6"/>
        <v>0.08927512356</v>
      </c>
      <c r="Q4" s="20">
        <f t="shared" si="7"/>
        <v>1085.934383</v>
      </c>
      <c r="R4" s="21">
        <v>3.0</v>
      </c>
      <c r="S4" s="19">
        <f t="shared" si="8"/>
        <v>0.3619781276</v>
      </c>
      <c r="T4" s="22">
        <v>0.025</v>
      </c>
      <c r="U4" s="23">
        <f t="shared" si="9"/>
        <v>0.3869781276</v>
      </c>
      <c r="V4" s="24">
        <v>0.104</v>
      </c>
      <c r="W4" s="25" t="str">
        <f t="shared" si="10"/>
        <v>#REF!</v>
      </c>
      <c r="X4" s="25" t="str">
        <f t="shared" si="11"/>
        <v>#REF!</v>
      </c>
      <c r="Y4" s="26" t="str">
        <f t="shared" si="12"/>
        <v>#REF!</v>
      </c>
      <c r="Z4" s="27" t="str">
        <f t="shared" si="13"/>
        <v>#REF!</v>
      </c>
      <c r="AA4" s="27" t="str">
        <f t="shared" si="14"/>
        <v>#REF!</v>
      </c>
      <c r="AC4" s="28" t="s">
        <v>38</v>
      </c>
      <c r="AD4" s="28">
        <v>1519.0</v>
      </c>
      <c r="AE4" s="28">
        <v>84.92</v>
      </c>
      <c r="AF4" s="29">
        <f t="shared" ref="AF4:AF5" si="15">365*16*1</f>
        <v>5840</v>
      </c>
      <c r="AG4" s="30">
        <v>6000.0</v>
      </c>
      <c r="AH4" s="31" t="s">
        <v>39</v>
      </c>
    </row>
    <row r="5" ht="17.25" customHeight="1">
      <c r="A5" s="11" t="s">
        <v>40</v>
      </c>
      <c r="B5" s="11" t="str">
        <f t="shared" si="1"/>
        <v>Crítica</v>
      </c>
      <c r="C5" s="12">
        <v>867.0</v>
      </c>
      <c r="D5" s="13">
        <v>604000.0</v>
      </c>
      <c r="E5" s="14">
        <f t="shared" si="2"/>
        <v>50.33333333</v>
      </c>
      <c r="F5" s="12">
        <v>0.9</v>
      </c>
      <c r="G5" s="14">
        <f t="shared" si="3"/>
        <v>45.3</v>
      </c>
      <c r="H5" s="12" t="s">
        <v>33</v>
      </c>
      <c r="I5" s="12">
        <v>5000.0</v>
      </c>
      <c r="J5" s="12"/>
      <c r="K5" s="13">
        <f t="shared" si="4"/>
        <v>226500</v>
      </c>
      <c r="L5" s="15">
        <f t="shared" si="5"/>
        <v>796.6005</v>
      </c>
      <c r="M5" s="16"/>
      <c r="N5" s="17" t="s">
        <v>41</v>
      </c>
      <c r="O5" s="18">
        <v>296.7</v>
      </c>
      <c r="P5" s="19">
        <f t="shared" si="6"/>
        <v>0.09775947282</v>
      </c>
      <c r="Q5" s="20">
        <f t="shared" si="7"/>
        <v>1189.137226</v>
      </c>
      <c r="R5" s="21">
        <v>3.0</v>
      </c>
      <c r="S5" s="19">
        <f t="shared" si="8"/>
        <v>0.3963790753</v>
      </c>
      <c r="T5" s="22">
        <v>0.035</v>
      </c>
      <c r="U5" s="23">
        <f t="shared" si="9"/>
        <v>0.4313790753</v>
      </c>
      <c r="V5" s="24">
        <v>0.146</v>
      </c>
      <c r="W5" s="25" t="str">
        <f t="shared" si="10"/>
        <v>#REF!</v>
      </c>
      <c r="X5" s="25" t="str">
        <f t="shared" si="11"/>
        <v>#REF!</v>
      </c>
      <c r="Y5" s="26" t="str">
        <f t="shared" si="12"/>
        <v>#REF!</v>
      </c>
      <c r="Z5" s="27" t="str">
        <f t="shared" si="13"/>
        <v>#REF!</v>
      </c>
      <c r="AA5" s="27" t="str">
        <f t="shared" si="14"/>
        <v>#REF!</v>
      </c>
      <c r="AC5" s="28" t="s">
        <v>42</v>
      </c>
      <c r="AD5" s="28">
        <v>463.0</v>
      </c>
      <c r="AE5" s="28">
        <v>89.92</v>
      </c>
      <c r="AF5" s="29">
        <f t="shared" si="15"/>
        <v>5840</v>
      </c>
      <c r="AG5" s="30">
        <v>6000.0</v>
      </c>
      <c r="AH5" s="31" t="s">
        <v>43</v>
      </c>
    </row>
    <row r="6" ht="17.25" customHeight="1">
      <c r="A6" s="32" t="s">
        <v>44</v>
      </c>
      <c r="B6" s="32" t="str">
        <f t="shared" si="1"/>
        <v>Crítica</v>
      </c>
      <c r="C6" s="35">
        <v>932.0</v>
      </c>
      <c r="D6" s="33">
        <v>701000.0</v>
      </c>
      <c r="E6" s="34">
        <f t="shared" si="2"/>
        <v>58.41666667</v>
      </c>
      <c r="F6" s="35">
        <v>0.9</v>
      </c>
      <c r="G6" s="34">
        <f t="shared" si="3"/>
        <v>52.575</v>
      </c>
      <c r="H6" s="35" t="s">
        <v>33</v>
      </c>
      <c r="I6" s="35">
        <v>5000.0</v>
      </c>
      <c r="J6" s="35"/>
      <c r="K6" s="33">
        <f t="shared" si="4"/>
        <v>262875</v>
      </c>
      <c r="L6" s="36">
        <f t="shared" si="5"/>
        <v>924.531375</v>
      </c>
      <c r="M6" s="37"/>
      <c r="N6" s="17" t="s">
        <v>45</v>
      </c>
      <c r="O6" s="18">
        <v>281.04999999999995</v>
      </c>
      <c r="P6" s="19">
        <f t="shared" si="6"/>
        <v>0.0926029654</v>
      </c>
      <c r="Q6" s="20">
        <f t="shared" si="7"/>
        <v>1126.413945</v>
      </c>
      <c r="R6" s="21">
        <v>3.0</v>
      </c>
      <c r="S6" s="19">
        <f t="shared" si="8"/>
        <v>0.3754713149</v>
      </c>
      <c r="T6" s="22">
        <v>0.033</v>
      </c>
      <c r="U6" s="23">
        <f t="shared" si="9"/>
        <v>0.4084713149</v>
      </c>
      <c r="V6" s="24">
        <v>0.137</v>
      </c>
      <c r="W6" s="25" t="str">
        <f t="shared" si="10"/>
        <v>#REF!</v>
      </c>
      <c r="X6" s="25" t="str">
        <f t="shared" si="11"/>
        <v>#REF!</v>
      </c>
      <c r="Y6" s="26" t="str">
        <f t="shared" si="12"/>
        <v>#REF!</v>
      </c>
      <c r="Z6" s="27" t="str">
        <f t="shared" si="13"/>
        <v>#REF!</v>
      </c>
      <c r="AA6" s="27" t="str">
        <f t="shared" si="14"/>
        <v>#REF!</v>
      </c>
      <c r="AC6" s="28" t="s">
        <v>46</v>
      </c>
      <c r="AD6" s="28">
        <f>531+1740</f>
        <v>2271</v>
      </c>
      <c r="AE6" s="28">
        <f>39.92+104.33</f>
        <v>144.25</v>
      </c>
      <c r="AF6" s="29">
        <f>365*15*0.99</f>
        <v>5420.25</v>
      </c>
      <c r="AG6" s="30">
        <v>5400.0</v>
      </c>
      <c r="AH6" s="31" t="s">
        <v>47</v>
      </c>
    </row>
    <row r="7" ht="19.5" customHeight="1">
      <c r="A7" s="11" t="s">
        <v>48</v>
      </c>
      <c r="B7" s="11" t="str">
        <f t="shared" si="1"/>
        <v>Semicrítica</v>
      </c>
      <c r="C7" s="12">
        <v>844.0</v>
      </c>
      <c r="D7" s="13">
        <v>593000.0</v>
      </c>
      <c r="E7" s="14">
        <f t="shared" si="2"/>
        <v>49.41666667</v>
      </c>
      <c r="F7" s="12">
        <v>0.8</v>
      </c>
      <c r="G7" s="14">
        <f t="shared" si="3"/>
        <v>39.53333333</v>
      </c>
      <c r="H7" s="12" t="s">
        <v>38</v>
      </c>
      <c r="I7" s="12">
        <v>6000.0</v>
      </c>
      <c r="J7" s="12"/>
      <c r="K7" s="13">
        <f t="shared" si="4"/>
        <v>237200</v>
      </c>
      <c r="L7" s="15">
        <f t="shared" si="5"/>
        <v>834.2324</v>
      </c>
      <c r="M7" s="16"/>
      <c r="N7" s="17" t="s">
        <v>49</v>
      </c>
      <c r="O7" s="18">
        <v>276.45</v>
      </c>
      <c r="P7" s="19">
        <f t="shared" si="6"/>
        <v>0.09108731466</v>
      </c>
      <c r="Q7" s="20">
        <f t="shared" si="7"/>
        <v>1107.977709</v>
      </c>
      <c r="R7" s="21">
        <v>3.0</v>
      </c>
      <c r="S7" s="19">
        <f t="shared" si="8"/>
        <v>0.3693259028</v>
      </c>
      <c r="T7" s="22">
        <v>0.025</v>
      </c>
      <c r="U7" s="23">
        <f t="shared" si="9"/>
        <v>0.3943259028</v>
      </c>
      <c r="V7" s="24">
        <v>0.102</v>
      </c>
      <c r="W7" s="25" t="str">
        <f t="shared" si="10"/>
        <v>#REF!</v>
      </c>
      <c r="X7" s="25" t="str">
        <f t="shared" si="11"/>
        <v>#REF!</v>
      </c>
      <c r="Y7" s="26" t="str">
        <f t="shared" si="12"/>
        <v>#REF!</v>
      </c>
      <c r="Z7" s="27" t="str">
        <f t="shared" si="13"/>
        <v>#REF!</v>
      </c>
      <c r="AA7" s="27" t="str">
        <f t="shared" si="14"/>
        <v>#REF!</v>
      </c>
      <c r="AC7" s="28" t="s">
        <v>50</v>
      </c>
      <c r="AD7" s="28">
        <v>781.0</v>
      </c>
      <c r="AE7" s="28">
        <v>76.93</v>
      </c>
      <c r="AF7" s="29">
        <f>365*10.5*0.99</f>
        <v>3794.175</v>
      </c>
      <c r="AG7" s="30">
        <v>3800.0</v>
      </c>
      <c r="AH7" s="31" t="s">
        <v>51</v>
      </c>
    </row>
    <row r="8" ht="14.25" customHeight="1">
      <c r="A8" s="32" t="s">
        <v>52</v>
      </c>
      <c r="B8" s="32" t="str">
        <f t="shared" si="1"/>
        <v>General</v>
      </c>
      <c r="C8" s="35">
        <v>435.0</v>
      </c>
      <c r="D8" s="33">
        <v>338000.0</v>
      </c>
      <c r="E8" s="34">
        <f t="shared" si="2"/>
        <v>28.16666667</v>
      </c>
      <c r="F8" s="35">
        <v>0.7</v>
      </c>
      <c r="G8" s="34">
        <f t="shared" si="3"/>
        <v>19.71666667</v>
      </c>
      <c r="H8" s="35" t="s">
        <v>50</v>
      </c>
      <c r="I8" s="35">
        <v>3800.0</v>
      </c>
      <c r="J8" s="35"/>
      <c r="K8" s="33">
        <f t="shared" si="4"/>
        <v>74923.33333</v>
      </c>
      <c r="L8" s="36">
        <f t="shared" si="5"/>
        <v>263.5053633</v>
      </c>
      <c r="M8" s="37"/>
      <c r="N8" s="17" t="s">
        <v>53</v>
      </c>
      <c r="O8" s="38">
        <v>221.15</v>
      </c>
      <c r="P8" s="19">
        <f t="shared" si="6"/>
        <v>0.07286655684</v>
      </c>
      <c r="Q8" s="20">
        <f t="shared" si="7"/>
        <v>886.3420881</v>
      </c>
      <c r="R8" s="21">
        <v>3.0</v>
      </c>
      <c r="S8" s="19">
        <f t="shared" si="8"/>
        <v>0.2954473627</v>
      </c>
      <c r="T8" s="22">
        <v>0.015</v>
      </c>
      <c r="U8" s="23">
        <f t="shared" si="9"/>
        <v>0.3104473627</v>
      </c>
      <c r="V8" s="24">
        <v>0.061</v>
      </c>
      <c r="W8" s="25" t="str">
        <f t="shared" si="10"/>
        <v>#REF!</v>
      </c>
      <c r="X8" s="25" t="str">
        <f t="shared" si="11"/>
        <v>#REF!</v>
      </c>
      <c r="Y8" s="26" t="str">
        <f t="shared" si="12"/>
        <v>#REF!</v>
      </c>
      <c r="Z8" s="27" t="str">
        <f t="shared" si="13"/>
        <v>#REF!</v>
      </c>
      <c r="AA8" s="27" t="str">
        <f t="shared" si="14"/>
        <v>#REF!</v>
      </c>
      <c r="AC8" s="39" t="s">
        <v>54</v>
      </c>
      <c r="AD8" s="28">
        <v>1440.0</v>
      </c>
      <c r="AE8" s="28">
        <v>147.24</v>
      </c>
      <c r="AF8" s="29">
        <f>((AD3*AF3)+(AD4*AF4)+(AD5*AF5)+(AD6*AF6)+(AD7*AF7))/C27</f>
        <v>4471.732192</v>
      </c>
      <c r="AG8" s="29">
        <f>((AD3*AG3)+(AD4*AG4)+(AD5*AG5)+(AD6*AG6)+(AD7*AG7))/C27</f>
        <v>4493.503234</v>
      </c>
      <c r="AH8" s="31" t="s">
        <v>55</v>
      </c>
    </row>
    <row r="9">
      <c r="A9" s="11" t="s">
        <v>56</v>
      </c>
      <c r="B9" s="11" t="str">
        <f t="shared" si="1"/>
        <v>Semicrítica</v>
      </c>
      <c r="C9" s="13">
        <v>1060.0</v>
      </c>
      <c r="D9" s="13">
        <v>858000.0</v>
      </c>
      <c r="E9" s="14">
        <f t="shared" si="2"/>
        <v>71.5</v>
      </c>
      <c r="F9" s="12">
        <v>0.8</v>
      </c>
      <c r="G9" s="14">
        <f t="shared" si="3"/>
        <v>57.2</v>
      </c>
      <c r="H9" s="12" t="s">
        <v>46</v>
      </c>
      <c r="I9" s="12">
        <v>5400.0</v>
      </c>
      <c r="J9" s="12"/>
      <c r="K9" s="13">
        <f t="shared" si="4"/>
        <v>308880</v>
      </c>
      <c r="L9" s="15">
        <f t="shared" si="5"/>
        <v>1086.33096</v>
      </c>
      <c r="M9" s="16"/>
      <c r="N9" s="17" t="s">
        <v>57</v>
      </c>
      <c r="O9" s="38">
        <v>240.44999999999996</v>
      </c>
      <c r="P9" s="19">
        <f t="shared" si="6"/>
        <v>0.07922570016</v>
      </c>
      <c r="Q9" s="20">
        <f t="shared" si="7"/>
        <v>963.694122</v>
      </c>
      <c r="R9" s="21">
        <v>3.0</v>
      </c>
      <c r="S9" s="19">
        <f t="shared" si="8"/>
        <v>0.321231374</v>
      </c>
      <c r="T9" s="22">
        <v>0.018</v>
      </c>
      <c r="U9" s="23">
        <f t="shared" si="9"/>
        <v>0.339231374</v>
      </c>
      <c r="V9" s="24">
        <v>0.073</v>
      </c>
      <c r="W9" s="25" t="str">
        <f t="shared" si="10"/>
        <v>#REF!</v>
      </c>
      <c r="X9" s="25" t="str">
        <f t="shared" si="11"/>
        <v>#REF!</v>
      </c>
      <c r="Y9" s="26" t="str">
        <f t="shared" si="12"/>
        <v>#REF!</v>
      </c>
      <c r="Z9" s="27" t="str">
        <f t="shared" si="13"/>
        <v>#REF!</v>
      </c>
      <c r="AA9" s="27" t="str">
        <f t="shared" si="14"/>
        <v>#REF!</v>
      </c>
      <c r="AC9" s="40" t="s">
        <v>58</v>
      </c>
      <c r="AD9" s="41">
        <f>sum(AD3:AD8)</f>
        <v>10359</v>
      </c>
      <c r="AE9" s="41">
        <f>SUM(AE3:AE8)</f>
        <v>806.84</v>
      </c>
      <c r="AF9" s="30">
        <f t="shared" ref="AF9:AG9" si="16">($AD3*AF3+$AD4*AF4+$AD5*AF5+$AD6*AF6+$AD7*AF7+$AD8*AF8)/$AD9</f>
        <v>5093.345702</v>
      </c>
      <c r="AG9" s="30">
        <f t="shared" si="16"/>
        <v>5118.143127</v>
      </c>
      <c r="AH9" s="42"/>
    </row>
    <row r="10">
      <c r="A10" s="32" t="s">
        <v>59</v>
      </c>
      <c r="B10" s="32" t="str">
        <f t="shared" si="1"/>
        <v>Semicrítica</v>
      </c>
      <c r="C10" s="35">
        <v>510.0</v>
      </c>
      <c r="D10" s="33">
        <v>757000.0</v>
      </c>
      <c r="E10" s="34">
        <f t="shared" si="2"/>
        <v>63.08333333</v>
      </c>
      <c r="F10" s="35">
        <v>0.8</v>
      </c>
      <c r="G10" s="34">
        <f t="shared" si="3"/>
        <v>50.46666667</v>
      </c>
      <c r="H10" s="43" t="s">
        <v>54</v>
      </c>
      <c r="I10" s="35">
        <v>5400.0</v>
      </c>
      <c r="J10" s="35"/>
      <c r="K10" s="33">
        <f t="shared" si="4"/>
        <v>272520</v>
      </c>
      <c r="L10" s="36">
        <f t="shared" si="5"/>
        <v>958.45284</v>
      </c>
      <c r="M10" s="37"/>
      <c r="N10" s="17" t="s">
        <v>60</v>
      </c>
      <c r="O10" s="38">
        <v>218.64999999999995</v>
      </c>
      <c r="P10" s="19">
        <f t="shared" si="6"/>
        <v>0.07204283361</v>
      </c>
      <c r="Q10" s="20">
        <f t="shared" si="7"/>
        <v>876.3223945</v>
      </c>
      <c r="R10" s="21">
        <v>3.0</v>
      </c>
      <c r="S10" s="19">
        <f t="shared" si="8"/>
        <v>0.2921074648</v>
      </c>
      <c r="T10" s="22">
        <v>0.016</v>
      </c>
      <c r="U10" s="23">
        <f t="shared" si="9"/>
        <v>0.3081074648</v>
      </c>
      <c r="V10" s="24">
        <v>0.067</v>
      </c>
      <c r="W10" s="25" t="str">
        <f t="shared" si="10"/>
        <v>#REF!</v>
      </c>
      <c r="X10" s="25" t="str">
        <f t="shared" si="11"/>
        <v>#REF!</v>
      </c>
      <c r="Y10" s="26" t="str">
        <f t="shared" si="12"/>
        <v>#REF!</v>
      </c>
      <c r="Z10" s="27" t="str">
        <f t="shared" si="13"/>
        <v>#REF!</v>
      </c>
      <c r="AA10" s="27" t="str">
        <f t="shared" si="14"/>
        <v>#REF!</v>
      </c>
    </row>
    <row r="11">
      <c r="A11" s="11" t="s">
        <v>61</v>
      </c>
      <c r="B11" s="11" t="str">
        <f t="shared" si="1"/>
        <v>Semicrítica</v>
      </c>
      <c r="C11" s="12">
        <v>660.0</v>
      </c>
      <c r="D11" s="13">
        <v>796000.0</v>
      </c>
      <c r="E11" s="14">
        <f t="shared" si="2"/>
        <v>66.33333333</v>
      </c>
      <c r="F11" s="12">
        <v>0.8</v>
      </c>
      <c r="G11" s="14">
        <f t="shared" si="3"/>
        <v>53.06666667</v>
      </c>
      <c r="H11" s="44" t="s">
        <v>54</v>
      </c>
      <c r="I11" s="12">
        <v>5400.0</v>
      </c>
      <c r="J11" s="12"/>
      <c r="K11" s="13">
        <f t="shared" si="4"/>
        <v>286560</v>
      </c>
      <c r="L11" s="15">
        <f t="shared" si="5"/>
        <v>1007.83152</v>
      </c>
      <c r="M11" s="16"/>
      <c r="N11" s="17" t="s">
        <v>62</v>
      </c>
      <c r="O11" s="38">
        <v>214.45</v>
      </c>
      <c r="P11" s="19">
        <f t="shared" si="6"/>
        <v>0.07065897858</v>
      </c>
      <c r="Q11" s="20">
        <f t="shared" si="7"/>
        <v>859.4893094</v>
      </c>
      <c r="R11" s="21">
        <v>3.0</v>
      </c>
      <c r="S11" s="19">
        <f t="shared" si="8"/>
        <v>0.2864964365</v>
      </c>
      <c r="T11" s="22">
        <v>0.013</v>
      </c>
      <c r="U11" s="23">
        <f t="shared" si="9"/>
        <v>0.2994964365</v>
      </c>
      <c r="V11" s="24">
        <v>0.054</v>
      </c>
      <c r="W11" s="25" t="str">
        <f t="shared" si="10"/>
        <v>#REF!</v>
      </c>
      <c r="X11" s="25" t="str">
        <f t="shared" si="11"/>
        <v>#REF!</v>
      </c>
      <c r="Y11" s="26" t="str">
        <f t="shared" si="12"/>
        <v>#REF!</v>
      </c>
      <c r="Z11" s="27" t="str">
        <f t="shared" si="13"/>
        <v>#REF!</v>
      </c>
      <c r="AA11" s="27" t="str">
        <f t="shared" si="14"/>
        <v>#REF!</v>
      </c>
      <c r="AD11" s="45"/>
      <c r="AE11" s="45"/>
      <c r="AF11" s="45"/>
      <c r="AG11" s="45"/>
    </row>
    <row r="12">
      <c r="A12" s="32" t="s">
        <v>63</v>
      </c>
      <c r="B12" s="32" t="str">
        <f t="shared" si="1"/>
        <v>General</v>
      </c>
      <c r="C12" s="35">
        <v>180.0</v>
      </c>
      <c r="D12" s="33">
        <v>272000.0</v>
      </c>
      <c r="E12" s="34">
        <f t="shared" si="2"/>
        <v>22.66666667</v>
      </c>
      <c r="F12" s="35">
        <v>0.7</v>
      </c>
      <c r="G12" s="34">
        <f t="shared" si="3"/>
        <v>15.86666667</v>
      </c>
      <c r="H12" s="35" t="s">
        <v>50</v>
      </c>
      <c r="I12" s="35">
        <v>3800.0</v>
      </c>
      <c r="J12" s="35"/>
      <c r="K12" s="33">
        <f t="shared" si="4"/>
        <v>60293.33333</v>
      </c>
      <c r="L12" s="36">
        <f t="shared" si="5"/>
        <v>212.0516533</v>
      </c>
      <c r="M12" s="37"/>
      <c r="N12" s="17" t="s">
        <v>64</v>
      </c>
      <c r="O12" s="38">
        <v>224.35</v>
      </c>
      <c r="P12" s="19">
        <f t="shared" si="6"/>
        <v>0.07392092257</v>
      </c>
      <c r="Q12" s="20">
        <f t="shared" si="7"/>
        <v>899.1672957</v>
      </c>
      <c r="R12" s="21">
        <v>3.0</v>
      </c>
      <c r="S12" s="19">
        <f t="shared" si="8"/>
        <v>0.2997224319</v>
      </c>
      <c r="T12" s="22">
        <v>0.018</v>
      </c>
      <c r="U12" s="23">
        <f t="shared" si="9"/>
        <v>0.3177224319</v>
      </c>
      <c r="V12" s="24">
        <v>0.073</v>
      </c>
      <c r="W12" s="25" t="str">
        <f t="shared" si="10"/>
        <v>#REF!</v>
      </c>
      <c r="X12" s="25" t="str">
        <f t="shared" si="11"/>
        <v>#REF!</v>
      </c>
      <c r="Y12" s="26" t="str">
        <f t="shared" si="12"/>
        <v>#REF!</v>
      </c>
      <c r="Z12" s="27" t="str">
        <f t="shared" si="13"/>
        <v>#REF!</v>
      </c>
      <c r="AA12" s="27" t="str">
        <f t="shared" si="14"/>
        <v>#REF!</v>
      </c>
      <c r="AE12" s="46"/>
    </row>
    <row r="13">
      <c r="A13" s="11" t="s">
        <v>65</v>
      </c>
      <c r="B13" s="11" t="str">
        <f t="shared" si="1"/>
        <v>General</v>
      </c>
      <c r="C13" s="12">
        <v>116.0</v>
      </c>
      <c r="D13" s="13">
        <v>185000.0</v>
      </c>
      <c r="E13" s="14">
        <f t="shared" si="2"/>
        <v>15.41666667</v>
      </c>
      <c r="F13" s="12">
        <v>0.7</v>
      </c>
      <c r="G13" s="14">
        <f t="shared" si="3"/>
        <v>10.79166667</v>
      </c>
      <c r="H13" s="12" t="s">
        <v>50</v>
      </c>
      <c r="I13" s="12">
        <v>3800.0</v>
      </c>
      <c r="J13" s="12"/>
      <c r="K13" s="13">
        <f t="shared" si="4"/>
        <v>41008.33333</v>
      </c>
      <c r="L13" s="15">
        <f t="shared" si="5"/>
        <v>144.2263083</v>
      </c>
      <c r="M13" s="16"/>
      <c r="N13" s="17" t="s">
        <v>66</v>
      </c>
      <c r="O13" s="38">
        <v>233.9</v>
      </c>
      <c r="P13" s="19">
        <f t="shared" si="6"/>
        <v>0.0770675453</v>
      </c>
      <c r="Q13" s="20">
        <f t="shared" si="7"/>
        <v>937.442525</v>
      </c>
      <c r="R13" s="21">
        <v>3.0</v>
      </c>
      <c r="S13" s="19">
        <f t="shared" si="8"/>
        <v>0.3124808417</v>
      </c>
      <c r="T13" s="22">
        <v>0.015</v>
      </c>
      <c r="U13" s="23">
        <f t="shared" si="9"/>
        <v>0.3274808417</v>
      </c>
      <c r="V13" s="24">
        <v>0.061</v>
      </c>
      <c r="W13" s="25" t="str">
        <f t="shared" si="10"/>
        <v>#REF!</v>
      </c>
      <c r="X13" s="25" t="str">
        <f t="shared" si="11"/>
        <v>#REF!</v>
      </c>
      <c r="Y13" s="26" t="str">
        <f t="shared" si="12"/>
        <v>#REF!</v>
      </c>
      <c r="Z13" s="27" t="str">
        <f t="shared" si="13"/>
        <v>#REF!</v>
      </c>
      <c r="AA13" s="27" t="str">
        <f t="shared" si="14"/>
        <v>#REF!</v>
      </c>
      <c r="AD13" s="45" t="s">
        <v>67</v>
      </c>
      <c r="AE13" s="47" t="s">
        <v>68</v>
      </c>
      <c r="AF13" s="45" t="s">
        <v>69</v>
      </c>
    </row>
    <row r="14">
      <c r="A14" s="32" t="s">
        <v>70</v>
      </c>
      <c r="B14" s="32" t="str">
        <f t="shared" si="1"/>
        <v>Semicrítica</v>
      </c>
      <c r="C14" s="35">
        <v>680.0</v>
      </c>
      <c r="D14" s="33">
        <v>394000.0</v>
      </c>
      <c r="E14" s="34">
        <f t="shared" si="2"/>
        <v>32.83333333</v>
      </c>
      <c r="F14" s="35">
        <v>0.8</v>
      </c>
      <c r="G14" s="34">
        <f t="shared" si="3"/>
        <v>26.26666667</v>
      </c>
      <c r="H14" s="35" t="s">
        <v>46</v>
      </c>
      <c r="I14" s="35">
        <v>5400.0</v>
      </c>
      <c r="J14" s="35"/>
      <c r="K14" s="33">
        <f t="shared" si="4"/>
        <v>141840</v>
      </c>
      <c r="L14" s="36">
        <f t="shared" si="5"/>
        <v>498.85128</v>
      </c>
      <c r="M14" s="37"/>
      <c r="N14" s="17" t="s">
        <v>71</v>
      </c>
      <c r="O14" s="38">
        <v>281.35</v>
      </c>
      <c r="P14" s="19">
        <f t="shared" si="6"/>
        <v>0.09270181219</v>
      </c>
      <c r="Q14" s="20">
        <f t="shared" si="7"/>
        <v>1127.616308</v>
      </c>
      <c r="R14" s="21">
        <v>3.0</v>
      </c>
      <c r="S14" s="19">
        <f t="shared" si="8"/>
        <v>0.3758721026</v>
      </c>
      <c r="T14" s="22">
        <v>0.025</v>
      </c>
      <c r="U14" s="23">
        <f t="shared" si="9"/>
        <v>0.4008721026</v>
      </c>
      <c r="V14" s="24">
        <v>0.102</v>
      </c>
      <c r="W14" s="25" t="str">
        <f t="shared" si="10"/>
        <v>#REF!</v>
      </c>
      <c r="X14" s="25" t="str">
        <f t="shared" si="11"/>
        <v>#REF!</v>
      </c>
      <c r="Y14" s="26" t="str">
        <f t="shared" si="12"/>
        <v>#REF!</v>
      </c>
      <c r="Z14" s="27" t="str">
        <f t="shared" si="13"/>
        <v>#REF!</v>
      </c>
      <c r="AA14" s="27" t="str">
        <f t="shared" si="14"/>
        <v>#REF!</v>
      </c>
      <c r="AD14" s="39" t="s">
        <v>33</v>
      </c>
      <c r="AE14" s="46">
        <v>3885.0</v>
      </c>
      <c r="AF14" s="39">
        <v>263.58</v>
      </c>
    </row>
    <row r="15">
      <c r="A15" s="11" t="s">
        <v>72</v>
      </c>
      <c r="B15" s="11" t="str">
        <f t="shared" si="1"/>
        <v>Semicrítica</v>
      </c>
      <c r="C15" s="12">
        <v>320.0</v>
      </c>
      <c r="D15" s="13">
        <v>251000.0</v>
      </c>
      <c r="E15" s="14">
        <f t="shared" si="2"/>
        <v>20.91666667</v>
      </c>
      <c r="F15" s="12">
        <v>0.8</v>
      </c>
      <c r="G15" s="14">
        <f t="shared" si="3"/>
        <v>16.73333333</v>
      </c>
      <c r="H15" s="12" t="s">
        <v>46</v>
      </c>
      <c r="I15" s="12">
        <v>5400.0</v>
      </c>
      <c r="J15" s="12"/>
      <c r="K15" s="13">
        <f t="shared" si="4"/>
        <v>90360</v>
      </c>
      <c r="L15" s="15">
        <f t="shared" si="5"/>
        <v>317.79612</v>
      </c>
      <c r="M15" s="16"/>
      <c r="N15" s="48" t="s">
        <v>58</v>
      </c>
      <c r="O15" s="49">
        <f>SUM(O3:O14)</f>
        <v>3035</v>
      </c>
      <c r="P15" s="50">
        <f t="shared" ref="P15:Q15" si="17">sum(P3:P14)</f>
        <v>1</v>
      </c>
      <c r="Q15" s="51">
        <f t="shared" si="17"/>
        <v>12163.90792</v>
      </c>
      <c r="R15" s="52"/>
      <c r="S15" s="53">
        <f>sum(S3:S14)</f>
        <v>4.054635974</v>
      </c>
      <c r="T15" s="53">
        <v>0.273</v>
      </c>
      <c r="U15" s="54">
        <f t="shared" si="9"/>
        <v>4.327635974</v>
      </c>
      <c r="V15" s="53">
        <f t="shared" ref="V15:W15" si="18">sum(V3:V14)</f>
        <v>1.126</v>
      </c>
      <c r="W15" s="53" t="str">
        <f t="shared" si="18"/>
        <v>#REF!</v>
      </c>
      <c r="X15" s="55" t="str">
        <f t="shared" si="11"/>
        <v>#REF!</v>
      </c>
      <c r="Y15" s="56" t="str">
        <f>sum(Y3:Y14)</f>
        <v>#REF!</v>
      </c>
      <c r="Z15" s="52"/>
      <c r="AA15" s="56" t="str">
        <f>AVERAGE(AA3:AA14)</f>
        <v>#REF!</v>
      </c>
      <c r="AD15" s="39" t="s">
        <v>38</v>
      </c>
      <c r="AE15" s="46">
        <v>1519.0</v>
      </c>
      <c r="AF15" s="39">
        <v>84.92</v>
      </c>
      <c r="AH15" s="57">
        <f>ROUNDDOWN(2.5, 2)</f>
        <v>2.5</v>
      </c>
      <c r="AM15" s="46"/>
      <c r="AQ15" s="46"/>
    </row>
    <row r="16">
      <c r="A16" s="32" t="s">
        <v>73</v>
      </c>
      <c r="B16" s="32" t="str">
        <f t="shared" si="1"/>
        <v>Semicrítica</v>
      </c>
      <c r="C16" s="35">
        <v>186.0</v>
      </c>
      <c r="D16" s="33">
        <v>380000.0</v>
      </c>
      <c r="E16" s="34">
        <f t="shared" si="2"/>
        <v>31.66666667</v>
      </c>
      <c r="F16" s="35">
        <v>0.8</v>
      </c>
      <c r="G16" s="34">
        <f t="shared" si="3"/>
        <v>25.33333333</v>
      </c>
      <c r="H16" s="35" t="s">
        <v>42</v>
      </c>
      <c r="I16" s="35">
        <v>6000.0</v>
      </c>
      <c r="J16" s="35"/>
      <c r="K16" s="33">
        <f t="shared" si="4"/>
        <v>152000</v>
      </c>
      <c r="L16" s="58">
        <f t="shared" si="5"/>
        <v>534.584</v>
      </c>
      <c r="M16" s="59"/>
      <c r="N16" s="60"/>
      <c r="O16" s="60"/>
      <c r="P16" s="60"/>
      <c r="Q16" s="60"/>
      <c r="R16" s="60"/>
      <c r="S16" s="61"/>
      <c r="T16" s="61"/>
      <c r="U16" s="61"/>
      <c r="V16" s="61"/>
      <c r="W16" s="60"/>
      <c r="X16" s="60"/>
      <c r="Y16" s="62" t="s">
        <v>74</v>
      </c>
      <c r="Z16" s="40" t="s">
        <v>75</v>
      </c>
      <c r="AA16" s="60"/>
      <c r="AD16" s="39" t="s">
        <v>42</v>
      </c>
      <c r="AE16" s="39">
        <v>463.0</v>
      </c>
      <c r="AF16" s="39">
        <v>89.92</v>
      </c>
      <c r="AH16" s="57">
        <f>FLOOR(2.5,2)</f>
        <v>2</v>
      </c>
    </row>
    <row r="17">
      <c r="A17" s="11" t="s">
        <v>76</v>
      </c>
      <c r="B17" s="11" t="str">
        <f t="shared" si="1"/>
        <v>Semicrítica</v>
      </c>
      <c r="C17" s="12">
        <v>675.0</v>
      </c>
      <c r="D17" s="13">
        <v>426000.0</v>
      </c>
      <c r="E17" s="14">
        <f t="shared" si="2"/>
        <v>35.5</v>
      </c>
      <c r="F17" s="12">
        <v>0.8</v>
      </c>
      <c r="G17" s="14">
        <f t="shared" si="3"/>
        <v>28.4</v>
      </c>
      <c r="H17" s="12" t="s">
        <v>38</v>
      </c>
      <c r="I17" s="12">
        <v>6000.0</v>
      </c>
      <c r="J17" s="12"/>
      <c r="K17" s="13">
        <f t="shared" si="4"/>
        <v>170400</v>
      </c>
      <c r="L17" s="15">
        <f t="shared" si="5"/>
        <v>599.2968</v>
      </c>
      <c r="M17" s="63"/>
      <c r="N17" s="60"/>
      <c r="O17" s="60"/>
      <c r="P17" s="60"/>
      <c r="Q17" s="60"/>
      <c r="R17" s="60"/>
      <c r="S17" s="64"/>
      <c r="T17" s="64"/>
      <c r="U17" s="64"/>
      <c r="V17" s="64"/>
      <c r="W17" s="40">
        <v>2547.0</v>
      </c>
      <c r="X17" s="40"/>
      <c r="Y17" s="65"/>
      <c r="Z17" s="40" t="s">
        <v>77</v>
      </c>
      <c r="AA17" s="60"/>
      <c r="AD17" s="39" t="s">
        <v>46</v>
      </c>
      <c r="AE17" s="46">
        <v>371.0</v>
      </c>
      <c r="AF17" s="39">
        <v>32.33</v>
      </c>
    </row>
    <row r="18">
      <c r="A18" s="32" t="s">
        <v>78</v>
      </c>
      <c r="B18" s="32" t="str">
        <f t="shared" si="1"/>
        <v>Semicrítica</v>
      </c>
      <c r="C18" s="35">
        <v>270.0</v>
      </c>
      <c r="D18" s="33">
        <v>214000.0</v>
      </c>
      <c r="E18" s="34">
        <f t="shared" si="2"/>
        <v>17.83333333</v>
      </c>
      <c r="F18" s="35">
        <v>0.8</v>
      </c>
      <c r="G18" s="34">
        <f t="shared" si="3"/>
        <v>14.26666667</v>
      </c>
      <c r="H18" s="43" t="s">
        <v>54</v>
      </c>
      <c r="I18" s="35">
        <v>5400.0</v>
      </c>
      <c r="J18" s="35"/>
      <c r="K18" s="33">
        <f t="shared" si="4"/>
        <v>77040</v>
      </c>
      <c r="L18" s="36">
        <f t="shared" si="5"/>
        <v>270.94968</v>
      </c>
      <c r="M18" s="59"/>
      <c r="AD18" s="39" t="s">
        <v>50</v>
      </c>
      <c r="AE18" s="39">
        <v>781.0</v>
      </c>
      <c r="AF18" s="39">
        <v>76.93</v>
      </c>
    </row>
    <row r="19">
      <c r="A19" s="11" t="s">
        <v>79</v>
      </c>
      <c r="B19" s="11" t="str">
        <f t="shared" si="1"/>
        <v>Semicrítica</v>
      </c>
      <c r="C19" s="12">
        <v>101.0</v>
      </c>
      <c r="D19" s="13">
        <v>137000.0</v>
      </c>
      <c r="E19" s="14">
        <f t="shared" si="2"/>
        <v>11.41666667</v>
      </c>
      <c r="F19" s="12">
        <v>0.8</v>
      </c>
      <c r="G19" s="14">
        <f t="shared" si="3"/>
        <v>9.133333333</v>
      </c>
      <c r="H19" s="12" t="s">
        <v>46</v>
      </c>
      <c r="I19" s="12">
        <v>5400.0</v>
      </c>
      <c r="J19" s="12"/>
      <c r="K19" s="13">
        <f t="shared" si="4"/>
        <v>49320</v>
      </c>
      <c r="L19" s="15">
        <f t="shared" si="5"/>
        <v>173.45844</v>
      </c>
      <c r="M19" s="63"/>
      <c r="AD19" s="39" t="s">
        <v>54</v>
      </c>
      <c r="AE19" s="46">
        <v>1170.0</v>
      </c>
      <c r="AF19" s="39">
        <v>147.24</v>
      </c>
    </row>
    <row r="20">
      <c r="A20" s="32" t="s">
        <v>80</v>
      </c>
      <c r="B20" s="32" t="str">
        <f t="shared" si="1"/>
        <v>Semicrítica</v>
      </c>
      <c r="C20" s="35">
        <v>33.0</v>
      </c>
      <c r="D20" s="33">
        <v>87000.0</v>
      </c>
      <c r="E20" s="34">
        <f t="shared" si="2"/>
        <v>7.25</v>
      </c>
      <c r="F20" s="35">
        <v>0.8</v>
      </c>
      <c r="G20" s="34">
        <f t="shared" si="3"/>
        <v>5.8</v>
      </c>
      <c r="H20" s="35" t="s">
        <v>42</v>
      </c>
      <c r="I20" s="35">
        <v>6000.0</v>
      </c>
      <c r="J20" s="35"/>
      <c r="K20" s="33">
        <f t="shared" si="4"/>
        <v>34800</v>
      </c>
      <c r="L20" s="36">
        <f t="shared" si="5"/>
        <v>122.3916</v>
      </c>
      <c r="M20" s="59"/>
      <c r="N20" s="66" t="s">
        <v>81</v>
      </c>
      <c r="O20" s="67">
        <v>275.54999999999995</v>
      </c>
      <c r="AD20" s="39" t="s">
        <v>82</v>
      </c>
      <c r="AE20" s="46">
        <v>1740.0</v>
      </c>
      <c r="AF20" s="39">
        <v>104.33</v>
      </c>
    </row>
    <row r="21">
      <c r="A21" s="11" t="s">
        <v>83</v>
      </c>
      <c r="B21" s="11" t="str">
        <f t="shared" si="1"/>
        <v>General</v>
      </c>
      <c r="C21" s="12">
        <v>76.0</v>
      </c>
      <c r="D21" s="13">
        <v>176000.0</v>
      </c>
      <c r="E21" s="14">
        <f t="shared" si="2"/>
        <v>14.66666667</v>
      </c>
      <c r="F21" s="12">
        <v>0.7</v>
      </c>
      <c r="G21" s="14">
        <f t="shared" si="3"/>
        <v>10.26666667</v>
      </c>
      <c r="H21" s="12" t="s">
        <v>42</v>
      </c>
      <c r="I21" s="12">
        <v>6000.0</v>
      </c>
      <c r="J21" s="12"/>
      <c r="K21" s="13">
        <f t="shared" si="4"/>
        <v>61600</v>
      </c>
      <c r="L21" s="15">
        <f t="shared" si="5"/>
        <v>216.6472</v>
      </c>
      <c r="M21" s="63"/>
      <c r="N21" s="66" t="s">
        <v>84</v>
      </c>
      <c r="O21" s="67">
        <v>270.95</v>
      </c>
      <c r="AD21" s="39" t="s">
        <v>58</v>
      </c>
      <c r="AE21" s="46">
        <v>10358.0</v>
      </c>
      <c r="AF21" s="39">
        <v>806.8</v>
      </c>
      <c r="AG21" s="45"/>
      <c r="AH21" s="45"/>
      <c r="AI21" s="45"/>
      <c r="AJ21" s="45"/>
    </row>
    <row r="22" ht="13.5" customHeight="1">
      <c r="A22" s="32" t="s">
        <v>85</v>
      </c>
      <c r="B22" s="32" t="str">
        <f t="shared" si="1"/>
        <v>General</v>
      </c>
      <c r="C22" s="35">
        <v>76.0</v>
      </c>
      <c r="D22" s="33">
        <v>176000.0</v>
      </c>
      <c r="E22" s="34">
        <f t="shared" si="2"/>
        <v>14.66666667</v>
      </c>
      <c r="F22" s="35">
        <v>0.7</v>
      </c>
      <c r="G22" s="34">
        <f t="shared" si="3"/>
        <v>10.26666667</v>
      </c>
      <c r="H22" s="35" t="s">
        <v>42</v>
      </c>
      <c r="I22" s="35">
        <v>6000.0</v>
      </c>
      <c r="J22" s="35"/>
      <c r="K22" s="33">
        <f t="shared" si="4"/>
        <v>61600</v>
      </c>
      <c r="L22" s="36">
        <f t="shared" si="5"/>
        <v>216.6472</v>
      </c>
      <c r="M22" s="59"/>
      <c r="N22" s="66" t="s">
        <v>86</v>
      </c>
      <c r="O22" s="67">
        <v>296.7</v>
      </c>
      <c r="Q22" s="45" t="s">
        <v>13</v>
      </c>
      <c r="R22" s="45" t="s">
        <v>87</v>
      </c>
      <c r="S22" s="45" t="s">
        <v>88</v>
      </c>
      <c r="T22" s="45"/>
      <c r="U22" s="45"/>
      <c r="V22" s="45"/>
      <c r="W22" s="10" t="s">
        <v>19</v>
      </c>
      <c r="X22" s="10"/>
      <c r="Y22" s="10" t="s">
        <v>21</v>
      </c>
      <c r="Z22" s="10" t="s">
        <v>89</v>
      </c>
      <c r="AA22" s="10" t="s">
        <v>90</v>
      </c>
      <c r="AH22" s="46"/>
    </row>
    <row r="23">
      <c r="A23" s="11" t="s">
        <v>91</v>
      </c>
      <c r="B23" s="11" t="str">
        <f t="shared" si="1"/>
        <v>General</v>
      </c>
      <c r="C23" s="12">
        <v>46.0</v>
      </c>
      <c r="D23" s="13">
        <v>130000.0</v>
      </c>
      <c r="E23" s="14">
        <f t="shared" si="2"/>
        <v>10.83333333</v>
      </c>
      <c r="F23" s="12">
        <v>0.7</v>
      </c>
      <c r="G23" s="14">
        <f t="shared" si="3"/>
        <v>7.583333333</v>
      </c>
      <c r="H23" s="12" t="s">
        <v>42</v>
      </c>
      <c r="I23" s="12">
        <v>6000.0</v>
      </c>
      <c r="J23" s="12"/>
      <c r="K23" s="13">
        <f t="shared" si="4"/>
        <v>45500</v>
      </c>
      <c r="L23" s="15">
        <f t="shared" si="5"/>
        <v>160.0235</v>
      </c>
      <c r="M23" s="63"/>
      <c r="N23" s="66" t="s">
        <v>92</v>
      </c>
      <c r="O23" s="67">
        <v>281.04999999999995</v>
      </c>
      <c r="Q23" s="39" t="s">
        <v>34</v>
      </c>
      <c r="R23" s="39">
        <v>1.236</v>
      </c>
      <c r="S23" s="39">
        <f>R23/3</f>
        <v>0.412</v>
      </c>
      <c r="T23" s="39"/>
      <c r="U23" s="39"/>
      <c r="V23" s="39"/>
      <c r="W23" s="39">
        <v>0.035</v>
      </c>
      <c r="X23" s="39"/>
      <c r="Y23" s="39">
        <v>0.146</v>
      </c>
      <c r="Z23" s="39">
        <v>0.118</v>
      </c>
      <c r="AA23" s="39">
        <v>0.704</v>
      </c>
      <c r="AH23" s="46"/>
    </row>
    <row r="24">
      <c r="A24" s="32" t="s">
        <v>93</v>
      </c>
      <c r="B24" s="32" t="str">
        <f t="shared" si="1"/>
        <v>General</v>
      </c>
      <c r="C24" s="35">
        <v>46.0</v>
      </c>
      <c r="D24" s="33">
        <v>130000.0</v>
      </c>
      <c r="E24" s="34">
        <f t="shared" si="2"/>
        <v>10.83333333</v>
      </c>
      <c r="F24" s="35">
        <v>0.7</v>
      </c>
      <c r="G24" s="34">
        <f t="shared" si="3"/>
        <v>7.583333333</v>
      </c>
      <c r="H24" s="35" t="s">
        <v>42</v>
      </c>
      <c r="I24" s="35">
        <v>6000.0</v>
      </c>
      <c r="J24" s="35"/>
      <c r="K24" s="33">
        <f t="shared" si="4"/>
        <v>45500</v>
      </c>
      <c r="L24" s="36">
        <f t="shared" si="5"/>
        <v>160.0235</v>
      </c>
      <c r="M24" s="59"/>
      <c r="N24" s="66" t="s">
        <v>94</v>
      </c>
      <c r="O24" s="67">
        <v>276.45</v>
      </c>
      <c r="Q24" s="39" t="s">
        <v>37</v>
      </c>
      <c r="R24" s="39">
        <v>1.019</v>
      </c>
      <c r="S24" s="39">
        <v>0.334</v>
      </c>
      <c r="T24" s="39"/>
      <c r="U24" s="39"/>
      <c r="V24" s="39"/>
      <c r="W24" s="39">
        <v>0.025</v>
      </c>
      <c r="X24" s="39"/>
      <c r="Y24" s="39">
        <v>0.104</v>
      </c>
      <c r="Z24" s="39">
        <v>0.118</v>
      </c>
      <c r="AA24" s="39">
        <v>0.581</v>
      </c>
      <c r="AH24" s="46"/>
    </row>
    <row r="25">
      <c r="A25" s="11" t="s">
        <v>95</v>
      </c>
      <c r="B25" s="11" t="str">
        <f t="shared" si="1"/>
        <v>Semicrítica</v>
      </c>
      <c r="C25" s="12">
        <v>110.0</v>
      </c>
      <c r="D25" s="13">
        <v>91000.0</v>
      </c>
      <c r="E25" s="14">
        <f t="shared" si="2"/>
        <v>7.583333333</v>
      </c>
      <c r="F25" s="12">
        <v>0.8</v>
      </c>
      <c r="G25" s="14">
        <f t="shared" si="3"/>
        <v>6.066666667</v>
      </c>
      <c r="H25" s="12" t="s">
        <v>46</v>
      </c>
      <c r="I25" s="12">
        <v>5400.0</v>
      </c>
      <c r="J25" s="12"/>
      <c r="K25" s="13">
        <f t="shared" si="4"/>
        <v>32760</v>
      </c>
      <c r="L25" s="15">
        <f t="shared" si="5"/>
        <v>115.21692</v>
      </c>
      <c r="M25" s="63"/>
      <c r="N25" s="66" t="s">
        <v>96</v>
      </c>
      <c r="O25" s="67">
        <v>221.15</v>
      </c>
      <c r="Q25" s="39" t="s">
        <v>41</v>
      </c>
      <c r="R25" s="39">
        <v>1.236</v>
      </c>
      <c r="S25" s="39">
        <v>0.405</v>
      </c>
      <c r="T25" s="39"/>
      <c r="U25" s="39"/>
      <c r="V25" s="39"/>
      <c r="W25" s="39">
        <v>0.035</v>
      </c>
      <c r="X25" s="39"/>
      <c r="Y25" s="39">
        <v>0.146</v>
      </c>
      <c r="Z25" s="39">
        <v>0.118</v>
      </c>
      <c r="AA25" s="39">
        <v>0.704</v>
      </c>
      <c r="AH25" s="46"/>
    </row>
    <row r="26">
      <c r="A26" s="32" t="s">
        <v>97</v>
      </c>
      <c r="B26" s="32" t="str">
        <f t="shared" si="1"/>
        <v>General</v>
      </c>
      <c r="C26" s="35">
        <v>50.0</v>
      </c>
      <c r="D26" s="33">
        <v>128000.0</v>
      </c>
      <c r="E26" s="34">
        <f t="shared" si="2"/>
        <v>10.66666667</v>
      </c>
      <c r="F26" s="35">
        <v>0.7</v>
      </c>
      <c r="G26" s="34">
        <f t="shared" si="3"/>
        <v>7.466666667</v>
      </c>
      <c r="H26" s="35" t="s">
        <v>50</v>
      </c>
      <c r="I26" s="35">
        <v>3800.0</v>
      </c>
      <c r="J26" s="35"/>
      <c r="K26" s="33">
        <f t="shared" si="4"/>
        <v>28373.33333</v>
      </c>
      <c r="L26" s="36">
        <f t="shared" si="5"/>
        <v>99.78901333</v>
      </c>
      <c r="M26" s="59"/>
      <c r="N26" s="66" t="s">
        <v>98</v>
      </c>
      <c r="O26" s="67">
        <v>240.44999999999996</v>
      </c>
      <c r="Q26" s="39" t="s">
        <v>45</v>
      </c>
      <c r="R26" s="39">
        <v>1.183</v>
      </c>
      <c r="S26" s="39">
        <v>0.388</v>
      </c>
      <c r="T26" s="39"/>
      <c r="U26" s="39"/>
      <c r="V26" s="39"/>
      <c r="W26" s="39">
        <v>0.033</v>
      </c>
      <c r="X26" s="39"/>
      <c r="Y26" s="39">
        <v>0.137</v>
      </c>
      <c r="Z26" s="39">
        <v>0.118</v>
      </c>
      <c r="AA26" s="39">
        <v>0.676</v>
      </c>
      <c r="AH26" s="46"/>
    </row>
    <row r="27">
      <c r="A27" s="68" t="s">
        <v>58</v>
      </c>
      <c r="B27" s="11"/>
      <c r="C27" s="69">
        <f>sum(C3:C26)</f>
        <v>10359</v>
      </c>
      <c r="D27" s="69">
        <v>9682000.0</v>
      </c>
      <c r="E27" s="70">
        <f>SUM(E3:E26)</f>
        <v>806.8333333</v>
      </c>
      <c r="F27" s="70">
        <f>AVERAGE(F3:F26)</f>
        <v>0.7833333333</v>
      </c>
      <c r="G27" s="71">
        <f t="shared" si="3"/>
        <v>632.0194444</v>
      </c>
      <c r="H27" s="72"/>
      <c r="I27" s="72">
        <v>9.0</v>
      </c>
      <c r="J27" s="72"/>
      <c r="K27" s="72">
        <f>sum(K3:K26)</f>
        <v>3458603.333</v>
      </c>
      <c r="L27" s="73">
        <f>SUM(L3:L26)</f>
        <v>12163.90792</v>
      </c>
      <c r="M27" s="74">
        <f t="shared" ref="M27:M28" si="19">K27*3.517/1000</f>
        <v>12163.90792</v>
      </c>
      <c r="N27" s="66" t="s">
        <v>99</v>
      </c>
      <c r="O27" s="67">
        <v>218.64999999999995</v>
      </c>
      <c r="Q27" s="39" t="s">
        <v>49</v>
      </c>
      <c r="R27" s="39">
        <v>1.076</v>
      </c>
      <c r="S27" s="39">
        <v>0.353</v>
      </c>
      <c r="T27" s="39"/>
      <c r="U27" s="39"/>
      <c r="V27" s="39"/>
      <c r="W27" s="39">
        <v>0.025</v>
      </c>
      <c r="X27" s="39"/>
      <c r="Y27" s="39">
        <v>0.102</v>
      </c>
      <c r="Z27" s="39">
        <v>0.118</v>
      </c>
      <c r="AA27" s="39">
        <v>0.598</v>
      </c>
    </row>
    <row r="28">
      <c r="A28" s="75"/>
      <c r="B28" s="75"/>
      <c r="C28" s="75"/>
      <c r="D28" s="76"/>
      <c r="E28" s="75"/>
      <c r="F28" s="43">
        <v>0.75</v>
      </c>
      <c r="G28" s="75">
        <f>E27*F28</f>
        <v>605.125</v>
      </c>
      <c r="H28" s="75"/>
      <c r="I28" s="77">
        <v>6281.79999999999</v>
      </c>
      <c r="J28" s="75"/>
      <c r="K28" s="76"/>
      <c r="L28" s="78">
        <f>K28*3.517/1000</f>
        <v>0</v>
      </c>
      <c r="M28" s="78">
        <f t="shared" si="19"/>
        <v>0</v>
      </c>
      <c r="N28" s="66" t="s">
        <v>100</v>
      </c>
      <c r="O28" s="67">
        <v>214.45</v>
      </c>
      <c r="Q28" s="39" t="s">
        <v>53</v>
      </c>
      <c r="R28" s="39">
        <v>0.86</v>
      </c>
      <c r="S28" s="39">
        <v>0.282</v>
      </c>
      <c r="T28" s="39"/>
      <c r="U28" s="39"/>
      <c r="V28" s="39"/>
      <c r="W28" s="39">
        <v>0.015</v>
      </c>
      <c r="X28" s="39"/>
      <c r="Y28" s="39">
        <v>0.061</v>
      </c>
      <c r="Z28" s="39">
        <v>0.118</v>
      </c>
      <c r="AA28" s="39">
        <v>0.476</v>
      </c>
    </row>
    <row r="29">
      <c r="A29" s="79"/>
      <c r="B29" s="79"/>
      <c r="C29" s="79"/>
      <c r="D29" s="79"/>
      <c r="E29" s="79"/>
      <c r="F29" s="44">
        <v>0.85</v>
      </c>
      <c r="G29" s="79">
        <f>E27*F29</f>
        <v>685.8083333</v>
      </c>
      <c r="H29" s="79"/>
      <c r="I29" s="72">
        <f>AVERAGE(I5:I28)</f>
        <v>5112.116667</v>
      </c>
      <c r="J29" s="79"/>
      <c r="K29" s="72">
        <f>I27*G29</f>
        <v>6172.275</v>
      </c>
      <c r="L29" s="74"/>
      <c r="M29" s="74"/>
      <c r="N29" s="66" t="s">
        <v>101</v>
      </c>
      <c r="O29" s="67">
        <v>224.35</v>
      </c>
      <c r="Q29" s="39" t="s">
        <v>57</v>
      </c>
      <c r="R29" s="39">
        <v>0.944</v>
      </c>
      <c r="S29" s="39">
        <v>0.31</v>
      </c>
      <c r="T29" s="39"/>
      <c r="U29" s="39"/>
      <c r="V29" s="39"/>
      <c r="W29" s="39">
        <v>0.018</v>
      </c>
      <c r="X29" s="39"/>
      <c r="Y29" s="39">
        <v>0.073</v>
      </c>
      <c r="Z29" s="39">
        <v>0.118</v>
      </c>
      <c r="AA29" s="39">
        <v>0.519</v>
      </c>
    </row>
    <row r="30">
      <c r="A30" s="75"/>
      <c r="B30" s="75"/>
      <c r="C30" s="75"/>
      <c r="D30" s="75"/>
      <c r="E30" s="75"/>
      <c r="F30" s="75"/>
      <c r="G30" s="75"/>
      <c r="H30" s="75"/>
      <c r="I30" s="43">
        <v>6718.15</v>
      </c>
      <c r="J30" s="75"/>
      <c r="K30" s="75"/>
      <c r="L30" s="78"/>
      <c r="M30" s="78"/>
      <c r="N30" s="66" t="s">
        <v>102</v>
      </c>
      <c r="O30" s="67">
        <v>233.9</v>
      </c>
      <c r="Q30" s="39" t="s">
        <v>60</v>
      </c>
      <c r="R30" s="39">
        <v>0.909</v>
      </c>
      <c r="S30" s="39">
        <v>0.298</v>
      </c>
      <c r="T30" s="39"/>
      <c r="U30" s="39"/>
      <c r="V30" s="39"/>
      <c r="W30" s="39">
        <v>0.016</v>
      </c>
      <c r="X30" s="39"/>
      <c r="Y30" s="39">
        <v>0.067</v>
      </c>
      <c r="Z30" s="39">
        <v>0.118</v>
      </c>
      <c r="AA30" s="39">
        <v>0.499</v>
      </c>
    </row>
    <row r="31">
      <c r="G31" s="57">
        <f>G27/E27</f>
        <v>0.7833333333</v>
      </c>
      <c r="K31" s="80">
        <v>3396741.73</v>
      </c>
      <c r="L31" s="57">
        <f>K31*3.517/1000</f>
        <v>11946.34066</v>
      </c>
      <c r="N31" s="66" t="s">
        <v>103</v>
      </c>
      <c r="O31" s="67">
        <v>281.35</v>
      </c>
      <c r="Q31" s="39" t="s">
        <v>62</v>
      </c>
      <c r="R31" s="39">
        <v>0.818</v>
      </c>
      <c r="S31" s="39">
        <v>0.268</v>
      </c>
      <c r="T31" s="39"/>
      <c r="U31" s="39"/>
      <c r="V31" s="39"/>
      <c r="W31" s="39">
        <v>0.013</v>
      </c>
      <c r="X31" s="39"/>
      <c r="Y31" s="39">
        <v>0.054</v>
      </c>
      <c r="Z31" s="39">
        <v>0.118</v>
      </c>
      <c r="AA31" s="39">
        <v>0.453</v>
      </c>
    </row>
    <row r="32">
      <c r="Q32" s="39" t="s">
        <v>64</v>
      </c>
      <c r="R32" s="39">
        <v>0.944</v>
      </c>
      <c r="S32" s="39">
        <v>0.31</v>
      </c>
      <c r="T32" s="39"/>
      <c r="U32" s="39"/>
      <c r="V32" s="39"/>
      <c r="W32" s="39">
        <v>0.018</v>
      </c>
      <c r="X32" s="39"/>
      <c r="Y32" s="39">
        <v>0.073</v>
      </c>
      <c r="Z32" s="39">
        <v>0.118</v>
      </c>
      <c r="AA32" s="39">
        <v>0.519</v>
      </c>
    </row>
    <row r="33">
      <c r="J33" s="80">
        <v>693.11</v>
      </c>
      <c r="Q33" s="39" t="s">
        <v>66</v>
      </c>
      <c r="R33" s="39">
        <v>0.86</v>
      </c>
      <c r="S33" s="39">
        <v>0.282</v>
      </c>
      <c r="T33" s="39"/>
      <c r="U33" s="39"/>
      <c r="V33" s="39"/>
      <c r="W33" s="39">
        <v>0.015</v>
      </c>
      <c r="X33" s="39"/>
      <c r="Y33" s="39">
        <v>0.061</v>
      </c>
      <c r="Z33" s="39">
        <v>0.118</v>
      </c>
      <c r="AA33" s="39">
        <v>0.476</v>
      </c>
    </row>
    <row r="34">
      <c r="J34" s="80">
        <v>5827.46</v>
      </c>
      <c r="Q34" s="39" t="s">
        <v>71</v>
      </c>
      <c r="R34" s="39">
        <v>1.076</v>
      </c>
      <c r="S34" s="39">
        <v>0.353</v>
      </c>
      <c r="T34" s="39"/>
      <c r="U34" s="39"/>
      <c r="V34" s="39"/>
      <c r="W34" s="39">
        <v>0.025</v>
      </c>
      <c r="X34" s="39"/>
      <c r="Y34" s="39">
        <v>0.102</v>
      </c>
      <c r="Z34" s="39">
        <v>0.118</v>
      </c>
      <c r="AA34" s="39">
        <v>0.598</v>
      </c>
    </row>
    <row r="35">
      <c r="A35" s="81" t="s">
        <v>104</v>
      </c>
      <c r="B35" s="82" t="s">
        <v>105</v>
      </c>
      <c r="I35" s="57">
        <f>J33*J34</f>
        <v>4039070.801</v>
      </c>
      <c r="P35" s="39" t="s">
        <v>106</v>
      </c>
      <c r="Q35" s="39">
        <v>12.164</v>
      </c>
      <c r="R35" s="39">
        <v>3.988</v>
      </c>
      <c r="S35" s="39"/>
      <c r="T35" s="39"/>
      <c r="U35" s="39"/>
      <c r="V35" s="39">
        <v>0.273</v>
      </c>
      <c r="W35" s="39"/>
      <c r="X35" s="39">
        <v>1.126</v>
      </c>
      <c r="Y35" s="39">
        <v>1.416</v>
      </c>
      <c r="Z35" s="39">
        <v>6.803</v>
      </c>
    </row>
    <row r="36">
      <c r="A36" s="83">
        <v>0.0</v>
      </c>
      <c r="B36" s="84">
        <v>378.0</v>
      </c>
    </row>
    <row r="37">
      <c r="A37" s="83">
        <v>0.08333333333333333</v>
      </c>
      <c r="B37" s="84">
        <v>346.0</v>
      </c>
      <c r="I37" s="85">
        <v>404085.0</v>
      </c>
    </row>
    <row r="38">
      <c r="A38" s="83">
        <v>0.16666666666666666</v>
      </c>
      <c r="B38" s="84">
        <v>315.0</v>
      </c>
      <c r="I38" s="39">
        <v>361547.0</v>
      </c>
    </row>
    <row r="39">
      <c r="A39" s="83">
        <v>0.25</v>
      </c>
      <c r="B39" s="84">
        <v>378.0</v>
      </c>
      <c r="I39" s="39">
        <v>406847.0</v>
      </c>
    </row>
    <row r="40">
      <c r="A40" s="83">
        <v>0.3333333333333333</v>
      </c>
      <c r="B40" s="84">
        <v>472.0</v>
      </c>
      <c r="I40" s="39">
        <v>400052.0</v>
      </c>
    </row>
    <row r="41">
      <c r="A41" s="83">
        <v>0.4166666666666667</v>
      </c>
      <c r="B41" s="84">
        <v>567.0</v>
      </c>
      <c r="I41" s="39">
        <v>394333.0</v>
      </c>
    </row>
    <row r="42">
      <c r="A42" s="83">
        <v>0.5</v>
      </c>
      <c r="B42" s="84">
        <v>630.0</v>
      </c>
      <c r="I42" s="39">
        <v>367272.0</v>
      </c>
    </row>
    <row r="43">
      <c r="A43" s="83">
        <v>0.5833333333333334</v>
      </c>
      <c r="B43" s="84">
        <v>630.0</v>
      </c>
      <c r="I43" s="39">
        <v>368754.0</v>
      </c>
    </row>
    <row r="44">
      <c r="A44" s="83">
        <v>0.6666666666666666</v>
      </c>
      <c r="B44" s="84">
        <v>598.0</v>
      </c>
      <c r="I44" s="39">
        <v>364245.0</v>
      </c>
    </row>
    <row r="45">
      <c r="A45" s="83">
        <v>0.75</v>
      </c>
      <c r="B45" s="84">
        <v>535.0</v>
      </c>
      <c r="I45" s="39">
        <v>358224.0</v>
      </c>
    </row>
    <row r="46">
      <c r="A46" s="83">
        <v>0.8333333333333334</v>
      </c>
      <c r="B46" s="84">
        <v>441.0</v>
      </c>
      <c r="I46" s="39">
        <v>367936.0</v>
      </c>
    </row>
    <row r="47">
      <c r="A47" s="83">
        <v>0.9166666666666666</v>
      </c>
      <c r="B47" s="84">
        <v>378.0</v>
      </c>
      <c r="I47" s="39">
        <v>362647.0</v>
      </c>
    </row>
    <row r="48">
      <c r="A48" s="86">
        <v>1.0</v>
      </c>
      <c r="B48" s="84">
        <v>378.0</v>
      </c>
      <c r="I48" s="39">
        <v>393502.0</v>
      </c>
    </row>
    <row r="49">
      <c r="J49" s="57">
        <f>SUM(I37:I48)</f>
        <v>4549444</v>
      </c>
    </row>
  </sheetData>
  <mergeCells count="2">
    <mergeCell ref="A1:C1"/>
    <mergeCell ref="D1:L1"/>
  </mergeCells>
  <drawing r:id="rId1"/>
  <tableParts count="3">
    <tablePart r:id="rId5"/>
    <tablePart r:id="rId6"/>
    <tablePart r:id="rId7"/>
  </tableParts>
</worksheet>
</file>